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41E289A-B80A-493C-B197-D0FBCA1E6C31}" xr6:coauthVersionLast="47" xr6:coauthVersionMax="47" xr10:uidLastSave="{00000000-0000-0000-0000-000000000000}"/>
  <bookViews>
    <workbookView xWindow="-108" yWindow="-108" windowWidth="23256" windowHeight="12456" xr2:uid="{389D9482-E450-4627-B5C9-F3AC644BE673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L2" i="1"/>
  <c r="L3" i="1"/>
  <c r="L4" i="1"/>
  <c r="L5" i="1"/>
  <c r="L6" i="1"/>
  <c r="K2" i="1"/>
  <c r="K3" i="1"/>
  <c r="K4" i="1"/>
  <c r="K5" i="1"/>
  <c r="K6" i="1"/>
  <c r="J2" i="1"/>
  <c r="J3" i="1"/>
  <c r="J4" i="1"/>
  <c r="J5" i="1"/>
  <c r="J6" i="1"/>
  <c r="I2" i="1"/>
  <c r="I3" i="1"/>
  <c r="I4" i="1"/>
  <c r="I5" i="1"/>
  <c r="I6" i="1"/>
</calcChain>
</file>

<file path=xl/sharedStrings.xml><?xml version="1.0" encoding="utf-8"?>
<sst xmlns="http://schemas.openxmlformats.org/spreadsheetml/2006/main" count="43" uniqueCount="33">
  <si>
    <t>ramesh gupta</t>
  </si>
  <si>
    <t>Simran Kaur</t>
  </si>
  <si>
    <t>amit</t>
  </si>
  <si>
    <t>Priya Singh</t>
  </si>
  <si>
    <t>Karan Mehta</t>
  </si>
  <si>
    <t>north</t>
  </si>
  <si>
    <t>South</t>
  </si>
  <si>
    <t>OrderID</t>
  </si>
  <si>
    <t>Region</t>
  </si>
  <si>
    <t>North</t>
  </si>
  <si>
    <t>Product</t>
  </si>
  <si>
    <t>Category</t>
  </si>
  <si>
    <t>Qty</t>
  </si>
  <si>
    <t>Laptop</t>
  </si>
  <si>
    <t>Electronics</t>
  </si>
  <si>
    <t>Chair</t>
  </si>
  <si>
    <t>Furniture</t>
  </si>
  <si>
    <t>East</t>
  </si>
  <si>
    <t>West</t>
  </si>
  <si>
    <t>Mouse</t>
  </si>
  <si>
    <t>Desk</t>
  </si>
  <si>
    <t>OrderDate</t>
  </si>
  <si>
    <t>CustomerName</t>
  </si>
  <si>
    <t>UnitPrice</t>
  </si>
  <si>
    <t>Clean Name</t>
  </si>
  <si>
    <t>Clean Region</t>
  </si>
  <si>
    <t>Product Status</t>
  </si>
  <si>
    <t>Qty Status</t>
  </si>
  <si>
    <t>Revenue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</si>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</sst>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m/dd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170" fontId="3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23.853518865741" createdVersion="7" refreshedVersion="7" minRefreshableVersion="3" recordCount="5" xr:uid="{960B11F7-338E-49FB-B897-848AEB012B51}">
  <cacheSource type="worksheet">
    <worksheetSource name="Table1"/>
  </cacheSource>
  <cacheFields count="13">
    <cacheField name="OrderID" numFmtId="0">
      <sharedItems containsSemiMixedTypes="0" containsString="0" containsNumber="1" containsInteger="1" minValue="1001" maxValue="1006"/>
    </cacheField>
    <cacheField name="OrderDate" numFmtId="14">
      <sharedItems containsSemiMixedTypes="0" containsNonDate="0" containsDate="1" containsString="0" minDate="2024-03-01T00:00:00" maxDate="2024-05-16T00:00:00"/>
    </cacheField>
    <cacheField name="CustomerName" numFmtId="0">
      <sharedItems/>
    </cacheField>
    <cacheField name="Region" numFmtId="0">
      <sharedItems/>
    </cacheField>
    <cacheField name="Product" numFmtId="0">
      <sharedItems containsBlank="1"/>
    </cacheField>
    <cacheField name="Category" numFmtId="0">
      <sharedItems count="2">
        <s v="Electronics"/>
        <s v="Furniture"/>
      </sharedItems>
    </cacheField>
    <cacheField name="Qty" numFmtId="0">
      <sharedItems containsSemiMixedTypes="0" containsString="0" containsNumber="1" containsInteger="1" minValue="-2" maxValue="10"/>
    </cacheField>
    <cacheField name="UnitPrice" numFmtId="0">
      <sharedItems containsSemiMixedTypes="0" containsString="0" containsNumber="1" containsInteger="1" minValue="500" maxValue="55000"/>
    </cacheField>
    <cacheField name="Clean Name" numFmtId="0">
      <sharedItems/>
    </cacheField>
    <cacheField name="Clean Region" numFmtId="0">
      <sharedItems count="4">
        <s v="North"/>
        <s v="South"/>
        <s v="East"/>
        <s v="West"/>
      </sharedItems>
    </cacheField>
    <cacheField name="Product Status" numFmtId="0">
      <sharedItems/>
    </cacheField>
    <cacheField name="Qty Status" numFmtId="0">
      <sharedItems count="2">
        <s v="Valid"/>
        <s v="Check"/>
      </sharedItems>
    </cacheField>
    <cacheField name="Revenue" numFmtId="0">
      <sharedItems containsSemiMixedTypes="0" containsString="0" containsNumber="1" containsInteger="1" minValue="-14000" maxValue="1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d v="2024-03-01T00:00:00"/>
    <s v="ramesh gupta"/>
    <s v="north"/>
    <s v="Laptop"/>
    <x v="0"/>
    <n v="2"/>
    <n v="55000"/>
    <s v="Ramesh Gupta"/>
    <x v="0"/>
    <s v="Laptop"/>
    <x v="0"/>
    <n v="110000"/>
  </r>
  <r>
    <n v="1002"/>
    <d v="2024-03-02T00:00:00"/>
    <s v="Simran Kaur"/>
    <s v="South"/>
    <s v="Chair"/>
    <x v="1"/>
    <n v="5"/>
    <n v="3500"/>
    <s v="Simran Kaur"/>
    <x v="1"/>
    <s v="Chair"/>
    <x v="0"/>
    <n v="17500"/>
  </r>
  <r>
    <n v="1003"/>
    <d v="2024-03-05T00:00:00"/>
    <s v="amit"/>
    <s v="East"/>
    <m/>
    <x v="1"/>
    <n v="3"/>
    <n v="7000"/>
    <s v="Amit"/>
    <x v="2"/>
    <s v="Missing"/>
    <x v="0"/>
    <n v="21000"/>
  </r>
  <r>
    <n v="1004"/>
    <d v="2024-04-10T00:00:00"/>
    <s v="Priya Singh"/>
    <s v="West"/>
    <s v="Mouse"/>
    <x v="0"/>
    <n v="10"/>
    <n v="500"/>
    <s v="Priya Singh"/>
    <x v="3"/>
    <s v="Mouse"/>
    <x v="0"/>
    <n v="5000"/>
  </r>
  <r>
    <n v="1006"/>
    <d v="2024-05-15T00:00:00"/>
    <s v="Karan Mehta"/>
    <s v="South"/>
    <s v="Desk"/>
    <x v="1"/>
    <n v="-2"/>
    <n v="7000"/>
    <s v="Karan Mehta"/>
    <x v="1"/>
    <s v="Desk"/>
    <x v="1"/>
    <n v="-1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9B0FB-8404-4F23-9C5E-DC2C6AFB8A90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9" firstHeaderRow="1" firstDataRow="2" firstDataCol="1"/>
  <pivotFields count="13">
    <pivotField showAll="0"/>
    <pivotField numFmtId="14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B985A-FDB5-4972-BDAC-DD245409C5FA}" name="Table1" displayName="Table1" ref="A1:M6" totalsRowShown="0" headerRowDxfId="14" dataDxfId="13">
  <autoFilter ref="A1:M6" xr:uid="{2C7B985A-FDB5-4972-BDAC-DD245409C5FA}"/>
  <tableColumns count="13">
    <tableColumn id="1" xr3:uid="{478D7F82-42FF-49AE-8621-C671100DE612}" name="OrderID" dataDxfId="12"/>
    <tableColumn id="2" xr3:uid="{17C9112B-5E36-4777-B459-022F4837449F}" name="OrderDate" dataDxfId="11"/>
    <tableColumn id="3" xr3:uid="{89C5DBA6-F12F-4ACD-8D48-4B53FF865B2E}" name="CustomerName" dataDxfId="10"/>
    <tableColumn id="4" xr3:uid="{0CE5DA08-B850-413F-A3DC-6014A8998394}" name="Region" dataDxfId="9"/>
    <tableColumn id="5" xr3:uid="{B72F86A7-D76A-4470-BFCD-AECA815A022C}" name="Product" dataDxfId="8"/>
    <tableColumn id="6" xr3:uid="{38DA0929-0845-4B0E-AEFA-6456A529341F}" name="Category" dataDxfId="7"/>
    <tableColumn id="7" xr3:uid="{CE77911F-2420-4E66-81BE-D8B0D0C6DDBE}" name="Qty" dataDxfId="6"/>
    <tableColumn id="8" xr3:uid="{7310379F-4014-45AA-A5E6-F936D44A9BD7}" name="UnitPrice" dataDxfId="5"/>
    <tableColumn id="9" xr3:uid="{F36D5DE6-2F77-4A08-A9D9-67762ABA1C74}" name="Clean Name" dataDxfId="4">
      <calculatedColumnFormula>PROPER(TRIM(Table1[[#This Row],[CustomerName]]))</calculatedColumnFormula>
    </tableColumn>
    <tableColumn id="10" xr3:uid="{7C285980-6599-4D48-9984-A7EB7F7879B8}" name="Clean Region" dataDxfId="3">
      <calculatedColumnFormula>PROPER(TRIM(Table1[[#This Row],[Region]]))</calculatedColumnFormula>
    </tableColumn>
    <tableColumn id="11" xr3:uid="{95BB346B-8BF1-4355-BA1E-C9EC780E35E4}" name="Product Status" dataDxfId="2">
      <calculatedColumnFormula>IF(E2="","Missing",E2)</calculatedColumnFormula>
    </tableColumn>
    <tableColumn id="12" xr3:uid="{B7728C04-6533-4EDB-BF90-674086C96244}" name="Qty Status" dataDxfId="1">
      <calculatedColumnFormula>IF(G2&lt;0,"Check","Valid")</calculatedColumnFormula>
    </tableColumn>
    <tableColumn id="13" xr3:uid="{9F9B272D-571F-468D-87DC-569CC4576CF0}" name="Revenue" dataDxfId="0">
      <calculatedColumnFormula>G2*H2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9770-CF4E-485E-83C2-BB841E38A278}">
  <dimension ref="A3:D9"/>
  <sheetViews>
    <sheetView tabSelected="1" workbookViewId="0">
      <selection activeCell="A3" sqref="A3"/>
    </sheetView>
  </sheetViews>
  <sheetFormatPr defaultRowHeight="14.4" x14ac:dyDescent="0.3"/>
  <cols>
    <col min="1" max="1" width="16.33203125" customWidth="1"/>
    <col min="2" max="2" width="18.6640625" customWidth="1"/>
    <col min="3" max="3" width="10.88671875" customWidth="1"/>
    <col min="4" max="4" width="12.6640625" customWidth="1"/>
  </cols>
  <sheetData>
    <row r="3" spans="1:4" x14ac:dyDescent="0.3">
      <c r="A3" s="13" t="s">
        <v>32</v>
      </c>
      <c r="B3" s="13" t="s">
        <v>31</v>
      </c>
    </row>
    <row r="4" spans="1:4" ht="25.2" customHeight="1" x14ac:dyDescent="0.3">
      <c r="A4" s="13" t="s">
        <v>29</v>
      </c>
      <c r="B4" t="s">
        <v>14</v>
      </c>
      <c r="C4" t="s">
        <v>16</v>
      </c>
      <c r="D4" t="s">
        <v>30</v>
      </c>
    </row>
    <row r="5" spans="1:4" ht="26.4" customHeight="1" x14ac:dyDescent="0.3">
      <c r="A5" s="14" t="s">
        <v>17</v>
      </c>
      <c r="B5" s="15"/>
      <c r="C5" s="15">
        <v>21000</v>
      </c>
      <c r="D5" s="15">
        <v>21000</v>
      </c>
    </row>
    <row r="6" spans="1:4" ht="28.8" customHeight="1" x14ac:dyDescent="0.3">
      <c r="A6" s="14" t="s">
        <v>9</v>
      </c>
      <c r="B6" s="15">
        <v>110000</v>
      </c>
      <c r="C6" s="15"/>
      <c r="D6" s="15">
        <v>110000</v>
      </c>
    </row>
    <row r="7" spans="1:4" ht="30" customHeight="1" x14ac:dyDescent="0.3">
      <c r="A7" s="14" t="s">
        <v>6</v>
      </c>
      <c r="B7" s="15"/>
      <c r="C7" s="15">
        <v>3500</v>
      </c>
      <c r="D7" s="15">
        <v>3500</v>
      </c>
    </row>
    <row r="8" spans="1:4" ht="30.6" customHeight="1" x14ac:dyDescent="0.3">
      <c r="A8" s="14" t="s">
        <v>18</v>
      </c>
      <c r="B8" s="15">
        <v>5000</v>
      </c>
      <c r="C8" s="15"/>
      <c r="D8" s="15">
        <v>5000</v>
      </c>
    </row>
    <row r="9" spans="1:4" x14ac:dyDescent="0.3">
      <c r="A9" s="14" t="s">
        <v>30</v>
      </c>
      <c r="B9" s="15">
        <v>115000</v>
      </c>
      <c r="C9" s="15">
        <v>24500</v>
      </c>
      <c r="D9" s="15">
        <v>139500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88CF-9C50-447C-A49E-D91F97C3A8B1}">
  <dimension ref="A1:N18"/>
  <sheetViews>
    <sheetView workbookViewId="0">
      <selection activeCell="F11" sqref="F11"/>
    </sheetView>
  </sheetViews>
  <sheetFormatPr defaultRowHeight="14.4" x14ac:dyDescent="0.3"/>
  <cols>
    <col min="1" max="1" width="10.33203125" customWidth="1"/>
    <col min="2" max="2" width="12.77734375" customWidth="1"/>
    <col min="3" max="3" width="17.33203125" customWidth="1"/>
    <col min="4" max="4" width="9.21875" customWidth="1"/>
    <col min="5" max="5" width="10.21875" customWidth="1"/>
    <col min="6" max="6" width="11.88671875" customWidth="1"/>
    <col min="8" max="8" width="11.88671875" customWidth="1"/>
  </cols>
  <sheetData>
    <row r="1" spans="1:14" ht="31.2" x14ac:dyDescent="0.3">
      <c r="A1" s="9" t="s">
        <v>7</v>
      </c>
      <c r="B1" s="12" t="s">
        <v>21</v>
      </c>
      <c r="C1" s="10" t="s">
        <v>22</v>
      </c>
      <c r="D1" s="10" t="s">
        <v>8</v>
      </c>
      <c r="E1" s="10" t="s">
        <v>10</v>
      </c>
      <c r="F1" s="10" t="s">
        <v>11</v>
      </c>
      <c r="G1" s="9" t="s">
        <v>12</v>
      </c>
      <c r="H1" s="9" t="s">
        <v>23</v>
      </c>
      <c r="I1" s="10" t="s">
        <v>24</v>
      </c>
      <c r="J1" s="10" t="s">
        <v>25</v>
      </c>
      <c r="K1" s="10" t="s">
        <v>26</v>
      </c>
      <c r="L1" s="10" t="s">
        <v>27</v>
      </c>
      <c r="M1" s="10" t="s">
        <v>28</v>
      </c>
    </row>
    <row r="2" spans="1:14" ht="24" customHeight="1" x14ac:dyDescent="0.3">
      <c r="A2" s="3">
        <v>1001</v>
      </c>
      <c r="B2" s="7">
        <v>45352</v>
      </c>
      <c r="C2" s="6" t="s">
        <v>0</v>
      </c>
      <c r="D2" s="6" t="s">
        <v>5</v>
      </c>
      <c r="E2" s="6" t="s">
        <v>13</v>
      </c>
      <c r="F2" s="6" t="s">
        <v>14</v>
      </c>
      <c r="G2" s="3">
        <v>2</v>
      </c>
      <c r="H2" s="3">
        <v>55000</v>
      </c>
      <c r="I2" s="6" t="str">
        <f>PROPER(TRIM(Table1[[#This Row],[CustomerName]]))</f>
        <v>Ramesh Gupta</v>
      </c>
      <c r="J2" s="6" t="str">
        <f>PROPER(TRIM(Table1[[#This Row],[Region]]))</f>
        <v>North</v>
      </c>
      <c r="K2" s="6" t="str">
        <f t="shared" ref="K2:K6" si="0">IF(E2="","Missing",E2)</f>
        <v>Laptop</v>
      </c>
      <c r="L2" t="str">
        <f t="shared" ref="L2:L6" si="1">IF(G2&lt;0,"Check","Valid")</f>
        <v>Valid</v>
      </c>
      <c r="M2">
        <f t="shared" ref="M2:M6" si="2">G2*H2</f>
        <v>110000</v>
      </c>
    </row>
    <row r="3" spans="1:14" ht="26.4" customHeight="1" x14ac:dyDescent="0.3">
      <c r="A3" s="3">
        <v>1002</v>
      </c>
      <c r="B3" s="7">
        <v>45353</v>
      </c>
      <c r="C3" s="6" t="s">
        <v>1</v>
      </c>
      <c r="D3" s="6" t="s">
        <v>6</v>
      </c>
      <c r="E3" s="6" t="s">
        <v>15</v>
      </c>
      <c r="F3" s="6" t="s">
        <v>16</v>
      </c>
      <c r="G3" s="3">
        <v>5</v>
      </c>
      <c r="H3" s="3">
        <v>3500</v>
      </c>
      <c r="I3" s="6" t="str">
        <f>PROPER(TRIM(Table1[[#This Row],[CustomerName]]))</f>
        <v>Simran Kaur</v>
      </c>
      <c r="J3" s="6" t="str">
        <f>PROPER(TRIM(Table1[[#This Row],[Region]]))</f>
        <v>South</v>
      </c>
      <c r="K3" s="6" t="str">
        <f t="shared" si="0"/>
        <v>Chair</v>
      </c>
      <c r="L3" s="11" t="str">
        <f t="shared" si="1"/>
        <v>Valid</v>
      </c>
      <c r="M3" s="11">
        <f t="shared" si="2"/>
        <v>17500</v>
      </c>
    </row>
    <row r="4" spans="1:14" ht="21" customHeight="1" x14ac:dyDescent="0.3">
      <c r="A4" s="3">
        <v>1003</v>
      </c>
      <c r="B4" s="7">
        <v>45356</v>
      </c>
      <c r="C4" s="6" t="s">
        <v>2</v>
      </c>
      <c r="D4" s="6" t="s">
        <v>17</v>
      </c>
      <c r="E4" s="6"/>
      <c r="F4" s="6" t="s">
        <v>16</v>
      </c>
      <c r="G4" s="3">
        <v>3</v>
      </c>
      <c r="H4" s="3">
        <v>7000</v>
      </c>
      <c r="I4" s="6" t="str">
        <f>PROPER(TRIM(Table1[[#This Row],[CustomerName]]))</f>
        <v>Amit</v>
      </c>
      <c r="J4" s="6" t="str">
        <f>PROPER(TRIM(Table1[[#This Row],[Region]]))</f>
        <v>East</v>
      </c>
      <c r="K4" s="6" t="str">
        <f t="shared" si="0"/>
        <v>Missing</v>
      </c>
      <c r="L4" s="11" t="str">
        <f t="shared" si="1"/>
        <v>Valid</v>
      </c>
      <c r="M4" s="11">
        <f t="shared" si="2"/>
        <v>21000</v>
      </c>
    </row>
    <row r="5" spans="1:14" ht="25.8" customHeight="1" x14ac:dyDescent="0.3">
      <c r="A5" s="3">
        <v>1004</v>
      </c>
      <c r="B5" s="7">
        <v>45392</v>
      </c>
      <c r="C5" s="6" t="s">
        <v>3</v>
      </c>
      <c r="D5" s="6" t="s">
        <v>18</v>
      </c>
      <c r="E5" s="6" t="s">
        <v>19</v>
      </c>
      <c r="F5" s="6" t="s">
        <v>14</v>
      </c>
      <c r="G5" s="3">
        <v>10</v>
      </c>
      <c r="H5" s="3">
        <v>500</v>
      </c>
      <c r="I5" s="6" t="str">
        <f>PROPER(TRIM(Table1[[#This Row],[CustomerName]]))</f>
        <v>Priya Singh</v>
      </c>
      <c r="J5" s="6" t="str">
        <f>PROPER(TRIM(Table1[[#This Row],[Region]]))</f>
        <v>West</v>
      </c>
      <c r="K5" s="6" t="str">
        <f t="shared" si="0"/>
        <v>Mouse</v>
      </c>
      <c r="L5" s="11" t="str">
        <f t="shared" si="1"/>
        <v>Valid</v>
      </c>
      <c r="M5" s="11">
        <f t="shared" si="2"/>
        <v>5000</v>
      </c>
    </row>
    <row r="6" spans="1:14" ht="27.6" customHeight="1" x14ac:dyDescent="0.3">
      <c r="A6">
        <v>1006</v>
      </c>
      <c r="B6" s="1">
        <v>45427</v>
      </c>
      <c r="C6" t="s">
        <v>4</v>
      </c>
      <c r="D6" t="s">
        <v>6</v>
      </c>
      <c r="E6" t="s">
        <v>20</v>
      </c>
      <c r="F6" t="s">
        <v>16</v>
      </c>
      <c r="G6">
        <v>-2</v>
      </c>
      <c r="H6">
        <v>7000</v>
      </c>
      <c r="I6" s="6" t="str">
        <f>PROPER(TRIM(Table1[[#This Row],[CustomerName]]))</f>
        <v>Karan Mehta</v>
      </c>
      <c r="J6" s="6" t="str">
        <f>PROPER(TRIM(Table1[[#This Row],[Region]]))</f>
        <v>South</v>
      </c>
      <c r="K6" s="6" t="str">
        <f t="shared" si="0"/>
        <v>Desk</v>
      </c>
      <c r="L6" s="11" t="str">
        <f t="shared" si="1"/>
        <v>Check</v>
      </c>
      <c r="M6" s="11">
        <f t="shared" si="2"/>
        <v>-14000</v>
      </c>
    </row>
    <row r="7" spans="1:14" ht="25.8" customHeight="1" x14ac:dyDescent="0.3"/>
    <row r="11" spans="1:14" x14ac:dyDescent="0.3">
      <c r="B11" s="1"/>
    </row>
    <row r="12" spans="1:14" x14ac:dyDescent="0.3">
      <c r="B12" s="2"/>
    </row>
    <row r="13" spans="1:14" x14ac:dyDescent="0.3">
      <c r="B13" s="2"/>
    </row>
    <row r="14" spans="1:14" x14ac:dyDescent="0.3">
      <c r="B14" s="2"/>
      <c r="J14" s="4"/>
      <c r="K14" s="5"/>
      <c r="L14" s="5"/>
      <c r="M14" s="4"/>
      <c r="N14" s="5"/>
    </row>
    <row r="15" spans="1:14" x14ac:dyDescent="0.3">
      <c r="B15" s="2"/>
      <c r="J15" s="3"/>
      <c r="K15" s="6"/>
      <c r="L15" s="7"/>
      <c r="M15" s="3"/>
      <c r="N15" s="6"/>
    </row>
    <row r="16" spans="1:14" x14ac:dyDescent="0.3">
      <c r="B16" s="2"/>
      <c r="J16" s="3"/>
      <c r="K16" s="6"/>
      <c r="L16" s="7"/>
      <c r="M16" s="3"/>
      <c r="N16" s="6"/>
    </row>
    <row r="17" spans="2:14" x14ac:dyDescent="0.3">
      <c r="B17" s="2"/>
      <c r="J17" s="3"/>
      <c r="K17" s="8"/>
      <c r="L17" s="7"/>
      <c r="M17" s="3"/>
      <c r="N17" s="8"/>
    </row>
    <row r="18" spans="2:14" x14ac:dyDescent="0.3">
      <c r="J18" s="3"/>
      <c r="K18" s="6"/>
      <c r="L18" s="7"/>
      <c r="M18" s="3"/>
      <c r="N18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jha</dc:creator>
  <cp:lastModifiedBy>Gauri jha</cp:lastModifiedBy>
  <dcterms:created xsi:type="dcterms:W3CDTF">2026-07-20T14:11:54Z</dcterms:created>
  <dcterms:modified xsi:type="dcterms:W3CDTF">2026-07-20T15:04:27Z</dcterms:modified>
</cp:coreProperties>
</file>